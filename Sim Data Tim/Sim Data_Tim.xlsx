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\OneDrive - Nanyang Technological University\Documents\torn\attacking_new\Sim Data Tim\"/>
    </mc:Choice>
  </mc:AlternateContent>
  <xr:revisionPtr revIDLastSave="0" documentId="13_ncr:1_{12B31CB9-22DD-4458-A651-EA1BB2EC2BD5}" xr6:coauthVersionLast="47" xr6:coauthVersionMax="47" xr10:uidLastSave="{00000000-0000-0000-0000-000000000000}"/>
  <bookViews>
    <workbookView xWindow="-108" yWindow="-108" windowWidth="23256" windowHeight="12456" xr2:uid="{22337682-76B1-429C-8379-76BCE6D28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</calcChain>
</file>

<file path=xl/sharedStrings.xml><?xml version="1.0" encoding="utf-8"?>
<sst xmlns="http://schemas.openxmlformats.org/spreadsheetml/2006/main" count="58" uniqueCount="28">
  <si>
    <t>ACTUAL</t>
  </si>
  <si>
    <t>SIMULATION</t>
  </si>
  <si>
    <t>Avg Actual</t>
  </si>
  <si>
    <t>Avg Sim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</si>
  <si>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</si>
  <si>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</si>
  <si>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</si>
  <si>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</si>
  <si>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</si>
  <si>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</si>
  <si>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</si>
  <si>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</si>
  <si>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</si>
  <si>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</si>
  <si>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Head</t>
  </si>
  <si>
    <t>Throat</t>
  </si>
  <si>
    <t>Heart</t>
  </si>
  <si>
    <t>Chest</t>
  </si>
  <si>
    <t>Stomach</t>
  </si>
  <si>
    <t>Groin</t>
  </si>
  <si>
    <t>Legs</t>
  </si>
  <si>
    <t>Arms</t>
  </si>
  <si>
    <t>Hands</t>
  </si>
  <si>
    <t>Feet</t>
  </si>
  <si>
    <t>Tim on Scofield</t>
  </si>
  <si>
    <t>Grey Weapon</t>
  </si>
  <si>
    <t>Benelli #Blindside</t>
  </si>
  <si>
    <t>Benelli #NoBlindside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</si>
</sst>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" vertical="center"/>
    </xf>
    <xf numFmtId="0" fontId="0" fillId="2" borderId="0" xfId="0" applyFill="1"/>
    <xf numFmtId="0" fontId="1" fillId="4" borderId="0" xfId="0" applyFont="1" applyFill="1" applyAlignment="1">
      <alignment horizontal="center" vertical="center"/>
    </xf>
    <xf numFmtId="0" fontId="1" fillId="3" borderId="0" xfId="0" applyFont="1" applyFill="1"/>
    <xf numFmtId="0" fontId="1" fillId="4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510D-98CF-4A10-8829-CE03F8BE061B}">
  <dimension ref="B1:AB39"/>
  <sheetViews>
    <sheetView tabSelected="1" topLeftCell="B16" workbookViewId="0">
      <selection activeCell="W35" sqref="W35"/>
    </sheetView>
  </sheetViews>
  <sheetFormatPr defaultRowHeight="14.4" x14ac:dyDescent="0.3"/>
  <cols>
    <col min="1" max="1" width="3.77734375" customWidth="1"/>
    <col min="2" max="2" width="3.77734375" style="1" customWidth="1"/>
    <col min="3" max="3" width="12.44140625" style="1" customWidth="1"/>
    <col min="4" max="4" width="8.88671875" style="1"/>
    <col min="5" max="5" width="9.5546875" style="1" bestFit="1" customWidth="1"/>
    <col min="6" max="6" width="8.88671875" style="1"/>
    <col min="7" max="7" width="2.44140625" style="2" customWidth="1"/>
    <col min="8" max="17" width="6.21875" style="8" customWidth="1"/>
    <col min="18" max="18" width="2.44140625" style="4" customWidth="1"/>
    <col min="19" max="28" width="5.6640625" style="9" customWidth="1"/>
  </cols>
  <sheetData>
    <row r="1" spans="2:28" x14ac:dyDescent="0.3">
      <c r="H1" s="3" t="s">
        <v>0</v>
      </c>
      <c r="I1" s="3"/>
      <c r="J1" s="3"/>
      <c r="K1" s="3"/>
      <c r="L1" s="3"/>
      <c r="M1" s="3"/>
      <c r="N1" s="3"/>
      <c r="O1" s="3"/>
      <c r="P1" s="3"/>
      <c r="Q1" s="3"/>
      <c r="S1" s="5" t="s">
        <v>1</v>
      </c>
      <c r="T1" s="5"/>
      <c r="U1" s="5"/>
      <c r="V1" s="5"/>
      <c r="W1" s="5"/>
      <c r="X1" s="5"/>
      <c r="Y1" s="5"/>
      <c r="Z1" s="5"/>
      <c r="AA1" s="5"/>
      <c r="AB1" s="5"/>
    </row>
    <row r="2" spans="2:28" x14ac:dyDescent="0.3">
      <c r="H2" s="3"/>
      <c r="I2" s="3"/>
      <c r="J2" s="3"/>
      <c r="K2" s="3"/>
      <c r="L2" s="3"/>
      <c r="M2" s="3"/>
      <c r="N2" s="3"/>
      <c r="O2" s="3"/>
      <c r="P2" s="3"/>
      <c r="Q2" s="3"/>
      <c r="S2" s="5"/>
      <c r="T2" s="5"/>
      <c r="U2" s="5"/>
      <c r="V2" s="5"/>
      <c r="W2" s="5"/>
      <c r="X2" s="5"/>
      <c r="Y2" s="5"/>
      <c r="Z2" s="5"/>
      <c r="AA2" s="5"/>
      <c r="AB2" s="5"/>
    </row>
    <row r="3" spans="2:28" x14ac:dyDescent="0.3">
      <c r="B3" s="1" t="s">
        <v>24</v>
      </c>
      <c r="H3" s="3"/>
      <c r="I3" s="3"/>
      <c r="J3" s="3"/>
      <c r="K3" s="3"/>
      <c r="L3" s="3"/>
      <c r="M3" s="3"/>
      <c r="N3" s="3"/>
      <c r="O3" s="3"/>
      <c r="P3" s="3"/>
      <c r="Q3" s="3"/>
      <c r="S3" s="5"/>
      <c r="T3" s="5"/>
      <c r="U3" s="5"/>
      <c r="V3" s="5"/>
      <c r="W3" s="5"/>
      <c r="X3" s="5"/>
      <c r="Y3" s="5"/>
      <c r="Z3" s="5"/>
      <c r="AA3" s="5"/>
      <c r="AB3" s="5"/>
    </row>
    <row r="4" spans="2:28" s="1" customFormat="1" x14ac:dyDescent="0.3">
      <c r="C4" s="1" t="s">
        <v>25</v>
      </c>
      <c r="E4" s="1" t="s">
        <v>2</v>
      </c>
      <c r="F4" s="1" t="s">
        <v>3</v>
      </c>
      <c r="G4" s="2"/>
      <c r="H4" s="6" t="s">
        <v>4</v>
      </c>
      <c r="I4" s="6" t="s">
        <v>5</v>
      </c>
      <c r="J4" s="6" t="s">
        <v>6</v>
      </c>
      <c r="K4" s="6" t="s">
        <v>7</v>
      </c>
      <c r="L4" s="6" t="s">
        <v>8</v>
      </c>
      <c r="M4" s="6" t="s">
        <v>9</v>
      </c>
      <c r="N4" s="6" t="s">
        <v>10</v>
      </c>
      <c r="O4" s="6" t="s">
        <v>11</v>
      </c>
      <c r="P4" s="6" t="s">
        <v>12</v>
      </c>
      <c r="Q4" s="6" t="s">
        <v>13</v>
      </c>
      <c r="R4" s="2"/>
      <c r="S4" s="7" t="s">
        <v>4</v>
      </c>
      <c r="T4" s="7" t="s">
        <v>5</v>
      </c>
      <c r="U4" s="7" t="s">
        <v>6</v>
      </c>
      <c r="V4" s="7" t="s">
        <v>7</v>
      </c>
      <c r="W4" s="7" t="s">
        <v>8</v>
      </c>
      <c r="X4" s="7" t="s">
        <v>9</v>
      </c>
      <c r="Y4" s="7" t="s">
        <v>10</v>
      </c>
      <c r="Z4" s="7" t="s">
        <v>11</v>
      </c>
      <c r="AA4" s="7" t="s">
        <v>12</v>
      </c>
      <c r="AB4" s="7" t="s">
        <v>13</v>
      </c>
    </row>
    <row r="5" spans="2:28" x14ac:dyDescent="0.3">
      <c r="D5" s="1" t="s">
        <v>14</v>
      </c>
      <c r="E5" s="1">
        <f t="shared" ref="E5:E14" si="0">AVERAGE(_xlfn.MAXIFS(H5:Q5,H5:Q5,"&gt;0"), _xlfn.MINIFS(H5:Q5,H5:Q5,"&gt;0"))</f>
        <v>0</v>
      </c>
      <c r="F5" s="1">
        <f>AVERAGE(_xlfn.MAXIFS(S5:AB5,S5:AB5,"&gt;0"), _xlfn.MINIFS(S5:AB5,S5:AB5,"&gt;0"))</f>
        <v>5894.5</v>
      </c>
      <c r="S5" s="9">
        <v>6146</v>
      </c>
      <c r="T5" s="9">
        <v>5866</v>
      </c>
      <c r="U5" s="9">
        <v>5737</v>
      </c>
      <c r="V5" s="9">
        <v>5643</v>
      </c>
      <c r="W5" s="9">
        <v>6056</v>
      </c>
      <c r="X5" s="9">
        <v>6045</v>
      </c>
      <c r="Y5" s="9">
        <v>6105</v>
      </c>
    </row>
    <row r="6" spans="2:28" x14ac:dyDescent="0.3">
      <c r="D6" s="1" t="s">
        <v>15</v>
      </c>
      <c r="E6" s="1">
        <f t="shared" si="0"/>
        <v>0</v>
      </c>
      <c r="F6" s="1">
        <f t="shared" ref="F6:F14" si="1">AVERAGE(_xlfn.MAXIFS(S6:AB6,S6:AB6,"&gt;0"), _xlfn.MINIFS(S6:AB6,S6:AB6,"&gt;0"))</f>
        <v>6158</v>
      </c>
      <c r="S6" s="9">
        <v>6340</v>
      </c>
      <c r="T6" s="9">
        <v>5976</v>
      </c>
    </row>
    <row r="7" spans="2:28" x14ac:dyDescent="0.3">
      <c r="D7" s="1" t="s">
        <v>16</v>
      </c>
      <c r="E7" s="1">
        <f t="shared" si="0"/>
        <v>0</v>
      </c>
      <c r="F7" s="1">
        <f t="shared" si="1"/>
        <v>0</v>
      </c>
    </row>
    <row r="8" spans="2:28" x14ac:dyDescent="0.3">
      <c r="D8" s="1" t="s">
        <v>17</v>
      </c>
      <c r="E8" s="1">
        <f>AVERAGE(_xlfn.MAXIFS(H8:Q8,H8:Q8,"&gt;0"), _xlfn.MINIFS(H8:Q8,H8:Q8,"&gt;0"))</f>
        <v>3204</v>
      </c>
      <c r="F8" s="1">
        <f t="shared" si="1"/>
        <v>3294</v>
      </c>
      <c r="H8" s="8">
        <v>3204</v>
      </c>
      <c r="S8" s="9">
        <v>3389</v>
      </c>
      <c r="T8" s="9">
        <v>3188</v>
      </c>
      <c r="U8" s="9">
        <v>3226</v>
      </c>
      <c r="V8" s="9">
        <v>3197</v>
      </c>
      <c r="W8" s="9">
        <v>3400</v>
      </c>
    </row>
    <row r="9" spans="2:28" x14ac:dyDescent="0.3">
      <c r="D9" s="1" t="s">
        <v>18</v>
      </c>
      <c r="E9" s="1">
        <f t="shared" ref="E9:E14" si="2">AVERAGE(_xlfn.MAXIFS(H9:Q9,H9:Q9,"&gt;0"), _xlfn.MINIFS(H9:Q9,H9:Q9,"&gt;0"))</f>
        <v>3293.5</v>
      </c>
      <c r="F9" s="1">
        <f t="shared" si="1"/>
        <v>3312</v>
      </c>
      <c r="H9" s="8">
        <v>3282</v>
      </c>
      <c r="I9" s="8">
        <v>3380</v>
      </c>
      <c r="J9" s="8">
        <v>3342</v>
      </c>
      <c r="K9" s="8">
        <v>3207</v>
      </c>
      <c r="S9" s="9">
        <v>3350</v>
      </c>
      <c r="T9" s="9">
        <v>3335</v>
      </c>
      <c r="U9" s="9">
        <v>3352</v>
      </c>
      <c r="V9" s="9">
        <v>3392</v>
      </c>
      <c r="W9" s="9">
        <v>3232</v>
      </c>
    </row>
    <row r="10" spans="2:28" x14ac:dyDescent="0.3">
      <c r="D10" s="1" t="s">
        <v>19</v>
      </c>
      <c r="E10" s="1">
        <f t="shared" si="2"/>
        <v>3255.5</v>
      </c>
      <c r="F10" s="1">
        <f t="shared" si="1"/>
        <v>3245</v>
      </c>
      <c r="H10" s="8">
        <v>3270</v>
      </c>
      <c r="I10" s="8">
        <v>3241</v>
      </c>
      <c r="S10" s="9">
        <v>3245</v>
      </c>
    </row>
    <row r="11" spans="2:28" x14ac:dyDescent="0.3">
      <c r="D11" s="1" t="s">
        <v>20</v>
      </c>
      <c r="E11" s="1">
        <f t="shared" si="2"/>
        <v>1786</v>
      </c>
      <c r="F11" s="1">
        <f t="shared" si="1"/>
        <v>1701</v>
      </c>
      <c r="H11" s="8">
        <v>1801</v>
      </c>
      <c r="I11" s="8">
        <v>1771</v>
      </c>
      <c r="J11" s="8">
        <v>1784</v>
      </c>
      <c r="S11" s="9">
        <v>1665</v>
      </c>
      <c r="T11" s="9">
        <v>1774</v>
      </c>
      <c r="U11" s="9">
        <v>1614</v>
      </c>
      <c r="V11" s="9">
        <v>1707</v>
      </c>
      <c r="W11" s="9">
        <v>1702</v>
      </c>
      <c r="X11" s="9">
        <v>1788</v>
      </c>
      <c r="Y11" s="9">
        <v>1745</v>
      </c>
      <c r="Z11" s="9">
        <v>1679</v>
      </c>
      <c r="AA11" s="9">
        <v>1676</v>
      </c>
    </row>
    <row r="12" spans="2:28" x14ac:dyDescent="0.3">
      <c r="D12" s="1" t="s">
        <v>21</v>
      </c>
      <c r="E12" s="1">
        <f t="shared" si="2"/>
        <v>0</v>
      </c>
      <c r="F12" s="1">
        <f t="shared" si="1"/>
        <v>1624</v>
      </c>
      <c r="S12" s="9">
        <v>1593</v>
      </c>
      <c r="T12" s="9">
        <v>1604</v>
      </c>
      <c r="U12" s="9">
        <v>1659</v>
      </c>
      <c r="V12" s="9">
        <v>1589</v>
      </c>
      <c r="W12" s="9">
        <v>1650</v>
      </c>
    </row>
    <row r="13" spans="2:28" x14ac:dyDescent="0.3">
      <c r="D13" s="1" t="s">
        <v>22</v>
      </c>
      <c r="E13" s="1">
        <f t="shared" si="2"/>
        <v>1155</v>
      </c>
      <c r="F13" s="1">
        <f t="shared" si="1"/>
        <v>1201.5</v>
      </c>
      <c r="H13" s="8">
        <v>1155</v>
      </c>
      <c r="S13" s="9">
        <v>1205</v>
      </c>
      <c r="T13" s="9">
        <v>1237</v>
      </c>
      <c r="U13" s="9">
        <v>1166</v>
      </c>
    </row>
    <row r="14" spans="2:28" x14ac:dyDescent="0.3">
      <c r="D14" s="1" t="s">
        <v>23</v>
      </c>
      <c r="E14" s="1">
        <f t="shared" si="2"/>
        <v>1146</v>
      </c>
      <c r="F14" s="1">
        <f t="shared" si="1"/>
        <v>1166</v>
      </c>
      <c r="H14" s="8">
        <v>1146</v>
      </c>
      <c r="S14" s="9">
        <v>1166</v>
      </c>
    </row>
    <row r="16" spans="2:28" x14ac:dyDescent="0.3">
      <c r="C16" s="1" t="s">
        <v>26</v>
      </c>
    </row>
    <row r="17" spans="3:23" x14ac:dyDescent="0.3">
      <c r="D17" s="1" t="s">
        <v>14</v>
      </c>
      <c r="E17" s="1">
        <f t="shared" ref="E17:E26" si="3">AVERAGE(_xlfn.MAXIFS(H17:Q17,H17:Q17,"&gt;0"), _xlfn.MINIFS(H17:Q17,H17:Q17,"&gt;0"))</f>
        <v>0</v>
      </c>
      <c r="F17" s="1">
        <f>AVERAGE(_xlfn.MAXIFS(S17:AB17,S17:AB17,"&gt;0"), _xlfn.MINIFS(S17:AB17,S17:AB17,"&gt;0"))</f>
        <v>14020.5</v>
      </c>
      <c r="S17" s="9">
        <v>13489</v>
      </c>
      <c r="T17" s="9">
        <v>14386</v>
      </c>
      <c r="U17" s="9">
        <v>14152</v>
      </c>
      <c r="V17" s="9">
        <v>14552</v>
      </c>
      <c r="W17" s="9">
        <v>13528</v>
      </c>
    </row>
    <row r="18" spans="3:23" x14ac:dyDescent="0.3">
      <c r="D18" s="1" t="s">
        <v>15</v>
      </c>
      <c r="E18" s="1">
        <f t="shared" si="3"/>
        <v>0</v>
      </c>
      <c r="F18" s="1">
        <f t="shared" ref="F18:F26" si="4">AVERAGE(_xlfn.MAXIFS(S18:AB18,S18:AB18,"&gt;0"), _xlfn.MINIFS(S18:AB18,S18:AB18,"&gt;0"))</f>
        <v>0</v>
      </c>
    </row>
    <row r="19" spans="3:23" x14ac:dyDescent="0.3">
      <c r="D19" s="1" t="s">
        <v>16</v>
      </c>
      <c r="E19" s="1">
        <f t="shared" si="3"/>
        <v>0</v>
      </c>
      <c r="F19" s="1">
        <f t="shared" si="4"/>
        <v>0</v>
      </c>
    </row>
    <row r="20" spans="3:23" x14ac:dyDescent="0.3">
      <c r="D20" s="1" t="s">
        <v>17</v>
      </c>
      <c r="E20" s="1">
        <f>AVERAGE(_xlfn.MAXIFS(H20:Q20,H20:Q20,"&gt;0"), _xlfn.MINIFS(H20:Q20,H20:Q20,"&gt;0"))</f>
        <v>8223</v>
      </c>
      <c r="F20" s="1">
        <f t="shared" si="4"/>
        <v>7657.5</v>
      </c>
      <c r="H20" s="8">
        <v>8223</v>
      </c>
      <c r="S20" s="9">
        <v>7748</v>
      </c>
      <c r="T20" s="9">
        <v>7567</v>
      </c>
    </row>
    <row r="21" spans="3:23" x14ac:dyDescent="0.3">
      <c r="D21" s="1" t="s">
        <v>18</v>
      </c>
      <c r="E21" s="1">
        <f t="shared" ref="E21:E26" si="5">AVERAGE(_xlfn.MAXIFS(H21:Q21,H21:Q21,"&gt;0"), _xlfn.MINIFS(H21:Q21,H21:Q21,"&gt;0"))</f>
        <v>0</v>
      </c>
      <c r="F21" s="1">
        <f t="shared" si="4"/>
        <v>8010.5</v>
      </c>
      <c r="S21" s="9">
        <v>7875</v>
      </c>
      <c r="T21" s="9">
        <v>8146</v>
      </c>
      <c r="U21" s="9">
        <v>8043</v>
      </c>
    </row>
    <row r="22" spans="3:23" x14ac:dyDescent="0.3">
      <c r="D22" s="1" t="s">
        <v>19</v>
      </c>
      <c r="E22" s="1">
        <f t="shared" si="5"/>
        <v>0</v>
      </c>
      <c r="F22" s="1">
        <f t="shared" si="4"/>
        <v>0</v>
      </c>
    </row>
    <row r="23" spans="3:23" x14ac:dyDescent="0.3">
      <c r="D23" s="1" t="s">
        <v>20</v>
      </c>
      <c r="E23" s="1">
        <f t="shared" si="5"/>
        <v>4260</v>
      </c>
      <c r="F23" s="1">
        <f t="shared" si="4"/>
        <v>3862</v>
      </c>
      <c r="H23" s="8">
        <v>4260</v>
      </c>
      <c r="S23" s="9">
        <v>3862</v>
      </c>
    </row>
    <row r="24" spans="3:23" x14ac:dyDescent="0.3">
      <c r="D24" s="1" t="s">
        <v>21</v>
      </c>
      <c r="E24" s="1">
        <f t="shared" si="5"/>
        <v>0</v>
      </c>
      <c r="F24" s="1">
        <f t="shared" si="4"/>
        <v>0</v>
      </c>
    </row>
    <row r="25" spans="3:23" x14ac:dyDescent="0.3">
      <c r="D25" s="1" t="s">
        <v>22</v>
      </c>
      <c r="E25" s="1">
        <f t="shared" si="5"/>
        <v>0</v>
      </c>
      <c r="F25" s="1">
        <f t="shared" si="4"/>
        <v>2863</v>
      </c>
      <c r="S25" s="9">
        <v>2920</v>
      </c>
      <c r="T25" s="9">
        <v>2806</v>
      </c>
    </row>
    <row r="26" spans="3:23" x14ac:dyDescent="0.3">
      <c r="D26" s="1" t="s">
        <v>23</v>
      </c>
      <c r="E26" s="1">
        <f t="shared" si="5"/>
        <v>0</v>
      </c>
      <c r="F26" s="1">
        <f t="shared" si="4"/>
        <v>2825.5</v>
      </c>
      <c r="S26" s="9">
        <v>2721</v>
      </c>
      <c r="T26" s="9">
        <v>2930</v>
      </c>
    </row>
    <row r="29" spans="3:23" x14ac:dyDescent="0.3">
      <c r="C29" s="1" t="s">
        <v>27</v>
      </c>
    </row>
    <row r="30" spans="3:23" x14ac:dyDescent="0.3">
      <c r="D30" s="1" t="s">
        <v>14</v>
      </c>
      <c r="E30" s="1">
        <f t="shared" ref="E30:E39" si="6">AVERAGE(_xlfn.MAXIFS(H30:Q30,H30:Q30,"&gt;0"), _xlfn.MINIFS(H30:Q30,H30:Q30,"&gt;0"))</f>
        <v>0</v>
      </c>
      <c r="F30" s="1">
        <f>AVERAGE(_xlfn.MAXIFS(S30:AB30,S30:AB30,"&gt;0"), _xlfn.MINIFS(S30:AB30,S30:AB30,"&gt;0"))</f>
        <v>8282.5</v>
      </c>
      <c r="S30" s="9">
        <v>8368</v>
      </c>
      <c r="T30" s="9">
        <v>8400</v>
      </c>
      <c r="U30" s="9">
        <v>7980</v>
      </c>
      <c r="V30" s="9">
        <v>8280</v>
      </c>
      <c r="W30" s="9">
        <v>8585</v>
      </c>
    </row>
    <row r="31" spans="3:23" x14ac:dyDescent="0.3">
      <c r="D31" s="1" t="s">
        <v>15</v>
      </c>
      <c r="E31" s="1">
        <f t="shared" si="6"/>
        <v>0</v>
      </c>
      <c r="F31" s="1">
        <f t="shared" ref="F31:F39" si="7">AVERAGE(_xlfn.MAXIFS(S31:AB31,S31:AB31,"&gt;0"), _xlfn.MINIFS(S31:AB31,S31:AB31,"&gt;0"))</f>
        <v>8614</v>
      </c>
      <c r="S31" s="9">
        <v>8614</v>
      </c>
    </row>
    <row r="32" spans="3:23" x14ac:dyDescent="0.3">
      <c r="D32" s="1" t="s">
        <v>16</v>
      </c>
      <c r="E32" s="1">
        <f t="shared" si="6"/>
        <v>0</v>
      </c>
      <c r="F32" s="1">
        <f t="shared" si="7"/>
        <v>0</v>
      </c>
    </row>
    <row r="33" spans="4:21" x14ac:dyDescent="0.3">
      <c r="D33" s="1" t="s">
        <v>17</v>
      </c>
      <c r="E33" s="1">
        <f>AVERAGE(_xlfn.MAXIFS(H33:Q33,H33:Q33,"&gt;0"), _xlfn.MINIFS(H33:Q33,H33:Q33,"&gt;0"))</f>
        <v>0</v>
      </c>
      <c r="F33" s="1">
        <f t="shared" si="7"/>
        <v>4524.5</v>
      </c>
      <c r="S33" s="9">
        <v>4527</v>
      </c>
      <c r="T33" s="9">
        <v>4503</v>
      </c>
      <c r="U33" s="9">
        <v>4546</v>
      </c>
    </row>
    <row r="34" spans="4:21" x14ac:dyDescent="0.3">
      <c r="D34" s="1" t="s">
        <v>18</v>
      </c>
      <c r="E34" s="1">
        <f t="shared" ref="E34:E39" si="8">AVERAGE(_xlfn.MAXIFS(H34:Q34,H34:Q34,"&gt;0"), _xlfn.MINIFS(H34:Q34,H34:Q34,"&gt;0"))</f>
        <v>4662</v>
      </c>
      <c r="F34" s="1">
        <f t="shared" si="7"/>
        <v>4865</v>
      </c>
      <c r="H34" s="8">
        <v>4662</v>
      </c>
      <c r="S34" s="9">
        <v>4891</v>
      </c>
      <c r="T34" s="9">
        <v>4839</v>
      </c>
    </row>
    <row r="35" spans="4:21" x14ac:dyDescent="0.3">
      <c r="D35" s="1" t="s">
        <v>19</v>
      </c>
      <c r="E35" s="1">
        <f t="shared" si="8"/>
        <v>0</v>
      </c>
      <c r="F35" s="1">
        <f t="shared" si="7"/>
        <v>0</v>
      </c>
    </row>
    <row r="36" spans="4:21" x14ac:dyDescent="0.3">
      <c r="D36" s="1" t="s">
        <v>20</v>
      </c>
      <c r="E36" s="1">
        <f t="shared" si="8"/>
        <v>0</v>
      </c>
      <c r="F36" s="1">
        <f t="shared" si="7"/>
        <v>2366</v>
      </c>
      <c r="S36" s="9">
        <v>2366</v>
      </c>
    </row>
    <row r="37" spans="4:21" x14ac:dyDescent="0.3">
      <c r="D37" s="1" t="s">
        <v>21</v>
      </c>
      <c r="E37" s="1">
        <f t="shared" si="8"/>
        <v>2392.5</v>
      </c>
      <c r="F37" s="1">
        <f t="shared" si="7"/>
        <v>0</v>
      </c>
      <c r="H37" s="8">
        <v>2431</v>
      </c>
      <c r="I37" s="8">
        <v>2458</v>
      </c>
      <c r="J37" s="8">
        <v>2390</v>
      </c>
      <c r="K37" s="8">
        <v>2327</v>
      </c>
    </row>
    <row r="38" spans="4:21" x14ac:dyDescent="0.3">
      <c r="D38" s="1" t="s">
        <v>22</v>
      </c>
      <c r="E38" s="1">
        <f t="shared" si="8"/>
        <v>0</v>
      </c>
      <c r="F38" s="1">
        <f t="shared" si="7"/>
        <v>1768</v>
      </c>
      <c r="S38" s="9">
        <v>1768</v>
      </c>
      <c r="T38" s="9">
        <v>1768</v>
      </c>
    </row>
    <row r="39" spans="4:21" x14ac:dyDescent="0.3">
      <c r="D39" s="1" t="s">
        <v>23</v>
      </c>
      <c r="E39" s="1">
        <f t="shared" si="8"/>
        <v>0</v>
      </c>
      <c r="F39" s="1">
        <f t="shared" si="7"/>
        <v>1637</v>
      </c>
      <c r="S39" s="9">
        <v>1637</v>
      </c>
    </row>
  </sheetData>
  <mergeCells count="2">
    <mergeCell ref="H1:Q3"/>
    <mergeCell ref="S1:A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 T</dc:creator>
  <cp:lastModifiedBy>Shrey T</cp:lastModifiedBy>
  <dcterms:created xsi:type="dcterms:W3CDTF">2026-04-18T13:11:21Z</dcterms:created>
  <dcterms:modified xsi:type="dcterms:W3CDTF">2026-04-19T06:33:27Z</dcterms:modified>
</cp:coreProperties>
</file>